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Clara\STQD6024 Machine Learning\"/>
    </mc:Choice>
  </mc:AlternateContent>
  <xr:revisionPtr revIDLastSave="0" documentId="13_ncr:1_{C836AF48-A16F-46C7-AC85-70D508525F68}" xr6:coauthVersionLast="47" xr6:coauthVersionMax="47" xr10:uidLastSave="{00000000-0000-0000-0000-000000000000}"/>
  <bookViews>
    <workbookView xWindow="9510" yWindow="0" windowWidth="9780" windowHeight="11370" xr2:uid="{D798528C-0EB5-402E-B86E-DEBEE0E4DD62}"/>
  </bookViews>
  <sheets>
    <sheet name="Kmode" sheetId="2" r:id="rId1"/>
    <sheet name="Kmean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2" l="1"/>
  <c r="C20" i="1"/>
  <c r="D20" i="1"/>
  <c r="E20" i="1"/>
  <c r="F20" i="1"/>
  <c r="B20" i="1"/>
  <c r="C19" i="1"/>
  <c r="D19" i="1"/>
  <c r="E19" i="1"/>
  <c r="F19" i="1"/>
  <c r="B19" i="1"/>
  <c r="C34" i="1"/>
  <c r="D34" i="1"/>
  <c r="B34" i="1"/>
  <c r="C33" i="1"/>
  <c r="D33" i="1"/>
  <c r="B33" i="1"/>
  <c r="C18" i="1"/>
  <c r="D18" i="1"/>
  <c r="E18" i="1"/>
  <c r="F18" i="1"/>
  <c r="B18" i="1"/>
  <c r="C14" i="1"/>
  <c r="D14" i="1"/>
  <c r="E14" i="1"/>
  <c r="F14" i="1"/>
  <c r="B14" i="1"/>
  <c r="C13" i="1"/>
  <c r="D13" i="1"/>
  <c r="E13" i="1"/>
  <c r="F13" i="1"/>
  <c r="B13" i="1"/>
  <c r="H13" i="1" s="1"/>
  <c r="I13" i="1" s="1"/>
  <c r="C12" i="1"/>
  <c r="D12" i="1"/>
  <c r="E12" i="1"/>
  <c r="F12" i="1"/>
  <c r="B12" i="1"/>
  <c r="H14" i="1" l="1"/>
  <c r="I14" i="1" s="1"/>
  <c r="H12" i="1"/>
  <c r="I12" i="1" s="1"/>
</calcChain>
</file>

<file path=xl/sharedStrings.xml><?xml version="1.0" encoding="utf-8"?>
<sst xmlns="http://schemas.openxmlformats.org/spreadsheetml/2006/main" count="74" uniqueCount="33">
  <si>
    <t>i</t>
  </si>
  <si>
    <t>x1</t>
  </si>
  <si>
    <t>X2</t>
  </si>
  <si>
    <t>x3</t>
  </si>
  <si>
    <t>x4</t>
  </si>
  <si>
    <t>x5</t>
  </si>
  <si>
    <t>Sum</t>
  </si>
  <si>
    <t>sqrt</t>
  </si>
  <si>
    <t>A</t>
  </si>
  <si>
    <t>B</t>
  </si>
  <si>
    <t>C</t>
  </si>
  <si>
    <t>Euclidean distance</t>
  </si>
  <si>
    <t xml:space="preserve">Centroid calculation </t>
  </si>
  <si>
    <t>CA</t>
  </si>
  <si>
    <t>CB</t>
  </si>
  <si>
    <t>K=2</t>
  </si>
  <si>
    <t>Kmeans-Example 2</t>
  </si>
  <si>
    <t>Kmeans-Example 1</t>
  </si>
  <si>
    <t>CC</t>
  </si>
  <si>
    <t>1. Reassign based on Euclidean distance/Manhantan distance</t>
  </si>
  <si>
    <t>2. Then recalculate the CA &amp; CB, reassign</t>
  </si>
  <si>
    <t>L</t>
  </si>
  <si>
    <t>M</t>
  </si>
  <si>
    <t>P</t>
  </si>
  <si>
    <t>same</t>
  </si>
  <si>
    <t>diff</t>
  </si>
  <si>
    <t>C1</t>
  </si>
  <si>
    <t>O1-O2</t>
  </si>
  <si>
    <t>C2</t>
  </si>
  <si>
    <t>dissimilarity score</t>
  </si>
  <si>
    <t>*Compare disimilarity score for C1 and C2, choose closest as the assigned group</t>
  </si>
  <si>
    <t>*</t>
  </si>
  <si>
    <t>Kmode 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</si>
</sst>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" fontId="1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CCB57-7302-4C7D-A3C8-30FBA8DD5954}">
  <dimension ref="A1:K13"/>
  <sheetViews>
    <sheetView tabSelected="1" workbookViewId="0">
      <selection activeCell="A2" sqref="A2"/>
    </sheetView>
  </sheetViews>
  <sheetFormatPr defaultRowHeight="14.5" x14ac:dyDescent="0.35"/>
  <sheetData>
    <row r="1" spans="1:11" x14ac:dyDescent="0.35">
      <c r="A1" s="2" t="s">
        <v>32</v>
      </c>
      <c r="F1" t="s">
        <v>30</v>
      </c>
    </row>
    <row r="2" spans="1:11" x14ac:dyDescent="0.35">
      <c r="A2" t="s">
        <v>0</v>
      </c>
      <c r="B2" t="s">
        <v>1</v>
      </c>
      <c r="C2" t="s">
        <v>2</v>
      </c>
      <c r="D2" t="s">
        <v>3</v>
      </c>
      <c r="E2" t="s">
        <v>26</v>
      </c>
      <c r="F2" t="s">
        <v>31</v>
      </c>
      <c r="H2" s="1" t="s">
        <v>29</v>
      </c>
      <c r="K2" s="1" t="s">
        <v>6</v>
      </c>
    </row>
    <row r="3" spans="1:11" x14ac:dyDescent="0.35">
      <c r="A3">
        <v>1</v>
      </c>
      <c r="B3" t="s">
        <v>8</v>
      </c>
      <c r="C3" t="s">
        <v>21</v>
      </c>
      <c r="D3" t="s">
        <v>22</v>
      </c>
      <c r="E3">
        <v>1</v>
      </c>
      <c r="F3">
        <v>1</v>
      </c>
    </row>
    <row r="4" spans="1:11" x14ac:dyDescent="0.35">
      <c r="A4">
        <v>2</v>
      </c>
      <c r="B4" t="s">
        <v>9</v>
      </c>
      <c r="C4" t="s">
        <v>23</v>
      </c>
      <c r="D4" t="s">
        <v>10</v>
      </c>
      <c r="E4">
        <v>2</v>
      </c>
      <c r="F4">
        <v>2</v>
      </c>
      <c r="G4" t="s">
        <v>27</v>
      </c>
      <c r="H4">
        <v>1</v>
      </c>
      <c r="I4">
        <v>1</v>
      </c>
      <c r="J4">
        <v>1</v>
      </c>
      <c r="K4">
        <f>SUM(H4:J4)</f>
        <v>3</v>
      </c>
    </row>
    <row r="5" spans="1:11" x14ac:dyDescent="0.35">
      <c r="A5">
        <v>3</v>
      </c>
      <c r="B5" t="s">
        <v>8</v>
      </c>
      <c r="C5" t="s">
        <v>21</v>
      </c>
      <c r="D5" t="s">
        <v>10</v>
      </c>
      <c r="E5">
        <v>1</v>
      </c>
      <c r="F5">
        <v>1</v>
      </c>
    </row>
    <row r="6" spans="1:11" x14ac:dyDescent="0.35">
      <c r="A6">
        <v>4</v>
      </c>
      <c r="B6" t="s">
        <v>9</v>
      </c>
      <c r="C6" t="s">
        <v>21</v>
      </c>
      <c r="D6" t="s">
        <v>10</v>
      </c>
      <c r="E6">
        <v>2</v>
      </c>
      <c r="F6">
        <v>2</v>
      </c>
    </row>
    <row r="7" spans="1:11" x14ac:dyDescent="0.35">
      <c r="A7">
        <v>5</v>
      </c>
      <c r="B7" t="s">
        <v>8</v>
      </c>
      <c r="C7" t="s">
        <v>23</v>
      </c>
      <c r="D7" t="s">
        <v>22</v>
      </c>
      <c r="E7">
        <v>1</v>
      </c>
      <c r="F7">
        <v>1</v>
      </c>
    </row>
    <row r="9" spans="1:11" x14ac:dyDescent="0.35">
      <c r="A9" s="1" t="s">
        <v>24</v>
      </c>
      <c r="B9">
        <v>0</v>
      </c>
    </row>
    <row r="10" spans="1:11" x14ac:dyDescent="0.35">
      <c r="A10" s="1" t="s">
        <v>25</v>
      </c>
      <c r="B10">
        <v>1</v>
      </c>
    </row>
    <row r="12" spans="1:11" x14ac:dyDescent="0.35">
      <c r="A12" s="1" t="s">
        <v>26</v>
      </c>
      <c r="B12" t="s">
        <v>8</v>
      </c>
      <c r="C12" t="s">
        <v>21</v>
      </c>
      <c r="D12" t="s">
        <v>10</v>
      </c>
    </row>
    <row r="13" spans="1:11" x14ac:dyDescent="0.35">
      <c r="A13" s="1" t="s">
        <v>28</v>
      </c>
      <c r="B13" t="s">
        <v>9</v>
      </c>
      <c r="C13" t="s">
        <v>23</v>
      </c>
      <c r="D13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9EFF9-1980-4327-BD54-361860186D69}">
  <dimension ref="A1:I34"/>
  <sheetViews>
    <sheetView topLeftCell="A4" workbookViewId="0">
      <selection activeCell="J27" sqref="J27"/>
    </sheetView>
  </sheetViews>
  <sheetFormatPr defaultRowHeight="14.5" x14ac:dyDescent="0.35"/>
  <sheetData>
    <row r="1" spans="1:9" x14ac:dyDescent="0.35">
      <c r="A1" s="2" t="s">
        <v>17</v>
      </c>
    </row>
    <row r="2" spans="1:9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9" x14ac:dyDescent="0.35">
      <c r="A3">
        <v>1</v>
      </c>
      <c r="B3">
        <v>10</v>
      </c>
      <c r="C3">
        <v>2</v>
      </c>
      <c r="D3">
        <v>-1</v>
      </c>
      <c r="E3">
        <v>4</v>
      </c>
      <c r="F3">
        <v>0</v>
      </c>
      <c r="G3" t="s">
        <v>8</v>
      </c>
    </row>
    <row r="4" spans="1:9" x14ac:dyDescent="0.35">
      <c r="A4">
        <v>2</v>
      </c>
      <c r="B4">
        <v>12</v>
      </c>
      <c r="C4">
        <v>4</v>
      </c>
      <c r="D4">
        <v>-5</v>
      </c>
      <c r="E4">
        <v>4</v>
      </c>
      <c r="F4">
        <v>1</v>
      </c>
      <c r="G4" t="s">
        <v>9</v>
      </c>
    </row>
    <row r="5" spans="1:9" x14ac:dyDescent="0.35">
      <c r="A5">
        <v>3</v>
      </c>
      <c r="B5">
        <v>10</v>
      </c>
      <c r="C5">
        <v>6</v>
      </c>
      <c r="D5">
        <v>-6</v>
      </c>
      <c r="E5">
        <v>4</v>
      </c>
      <c r="F5">
        <v>0</v>
      </c>
      <c r="G5" t="s">
        <v>10</v>
      </c>
    </row>
    <row r="6" spans="1:9" x14ac:dyDescent="0.35">
      <c r="A6">
        <v>4</v>
      </c>
      <c r="B6">
        <v>9</v>
      </c>
      <c r="C6">
        <v>2</v>
      </c>
      <c r="D6">
        <v>-1</v>
      </c>
      <c r="E6">
        <v>5</v>
      </c>
      <c r="F6">
        <v>0</v>
      </c>
      <c r="G6" t="s">
        <v>8</v>
      </c>
    </row>
    <row r="7" spans="1:9" x14ac:dyDescent="0.35">
      <c r="A7">
        <v>5</v>
      </c>
      <c r="B7">
        <v>10</v>
      </c>
      <c r="C7">
        <v>6</v>
      </c>
      <c r="D7">
        <v>-3</v>
      </c>
      <c r="E7">
        <v>4</v>
      </c>
      <c r="F7">
        <v>0</v>
      </c>
      <c r="G7" t="s">
        <v>9</v>
      </c>
    </row>
    <row r="8" spans="1:9" x14ac:dyDescent="0.35">
      <c r="A8">
        <v>6</v>
      </c>
      <c r="B8">
        <v>9</v>
      </c>
      <c r="C8">
        <v>4</v>
      </c>
      <c r="D8">
        <v>-4</v>
      </c>
      <c r="E8">
        <v>5</v>
      </c>
      <c r="F8">
        <v>1</v>
      </c>
      <c r="G8" t="s">
        <v>10</v>
      </c>
    </row>
    <row r="9" spans="1:9" x14ac:dyDescent="0.35">
      <c r="A9">
        <v>7</v>
      </c>
      <c r="B9">
        <v>8</v>
      </c>
      <c r="C9">
        <v>4</v>
      </c>
      <c r="D9">
        <v>-5</v>
      </c>
      <c r="E9">
        <v>5</v>
      </c>
      <c r="F9">
        <v>1</v>
      </c>
      <c r="G9" t="s">
        <v>8</v>
      </c>
    </row>
    <row r="10" spans="1:9" x14ac:dyDescent="0.35">
      <c r="A10">
        <v>8</v>
      </c>
      <c r="B10">
        <v>10</v>
      </c>
      <c r="C10">
        <v>6</v>
      </c>
      <c r="D10">
        <v>-1</v>
      </c>
      <c r="E10">
        <v>5</v>
      </c>
      <c r="F10">
        <v>0</v>
      </c>
      <c r="G10" t="s">
        <v>9</v>
      </c>
    </row>
    <row r="11" spans="1:9" x14ac:dyDescent="0.35">
      <c r="H11" s="1" t="s">
        <v>6</v>
      </c>
      <c r="I11" s="1" t="s">
        <v>7</v>
      </c>
    </row>
    <row r="12" spans="1:9" ht="16" customHeight="1" x14ac:dyDescent="0.35">
      <c r="A12" s="3" t="s">
        <v>11</v>
      </c>
      <c r="B12">
        <f>(B3-B4)^2</f>
        <v>4</v>
      </c>
      <c r="C12">
        <f t="shared" ref="C12:F12" si="0">(C3-C4)^2</f>
        <v>4</v>
      </c>
      <c r="D12">
        <f t="shared" si="0"/>
        <v>16</v>
      </c>
      <c r="E12">
        <f t="shared" si="0"/>
        <v>0</v>
      </c>
      <c r="F12">
        <f t="shared" si="0"/>
        <v>1</v>
      </c>
      <c r="H12">
        <f>SUM(B12:F12)</f>
        <v>25</v>
      </c>
      <c r="I12">
        <f>SQRT(H12)</f>
        <v>5</v>
      </c>
    </row>
    <row r="13" spans="1:9" x14ac:dyDescent="0.35">
      <c r="A13" s="3"/>
      <c r="B13">
        <f>(B3-B5)^2</f>
        <v>0</v>
      </c>
      <c r="C13">
        <f t="shared" ref="C13:F13" si="1">(C3-C5)^2</f>
        <v>16</v>
      </c>
      <c r="D13">
        <f t="shared" si="1"/>
        <v>25</v>
      </c>
      <c r="E13">
        <f t="shared" si="1"/>
        <v>0</v>
      </c>
      <c r="F13">
        <f t="shared" si="1"/>
        <v>0</v>
      </c>
      <c r="H13">
        <f>SUM(B13:F13)</f>
        <v>41</v>
      </c>
      <c r="I13">
        <f>SQRT(H13)</f>
        <v>6.4031242374328485</v>
      </c>
    </row>
    <row r="14" spans="1:9" x14ac:dyDescent="0.35">
      <c r="A14" s="3"/>
      <c r="B14">
        <f>(B3-B6)^2</f>
        <v>1</v>
      </c>
      <c r="C14">
        <f t="shared" ref="C14:F14" si="2">(C3-C6)^2</f>
        <v>0</v>
      </c>
      <c r="D14">
        <f t="shared" si="2"/>
        <v>0</v>
      </c>
      <c r="E14">
        <f t="shared" si="2"/>
        <v>1</v>
      </c>
      <c r="F14">
        <f t="shared" si="2"/>
        <v>0</v>
      </c>
      <c r="H14">
        <f>SUM(B14:F14)</f>
        <v>2</v>
      </c>
      <c r="I14">
        <f>SQRT(H14)</f>
        <v>1.4142135623730951</v>
      </c>
    </row>
    <row r="17" spans="1:6" x14ac:dyDescent="0.35">
      <c r="A17" s="2" t="s">
        <v>12</v>
      </c>
    </row>
    <row r="18" spans="1:6" x14ac:dyDescent="0.35">
      <c r="A18" t="s">
        <v>13</v>
      </c>
      <c r="B18">
        <f>AVERAGE(B3,B6,B9)</f>
        <v>9</v>
      </c>
      <c r="C18">
        <f t="shared" ref="C18:F18" si="3">AVERAGE(C3,C6,C9)</f>
        <v>2.6666666666666665</v>
      </c>
      <c r="D18">
        <f t="shared" si="3"/>
        <v>-2.3333333333333335</v>
      </c>
      <c r="E18">
        <f t="shared" si="3"/>
        <v>4.666666666666667</v>
      </c>
      <c r="F18">
        <f t="shared" si="3"/>
        <v>0.33333333333333331</v>
      </c>
    </row>
    <row r="19" spans="1:6" x14ac:dyDescent="0.35">
      <c r="A19" t="s">
        <v>14</v>
      </c>
      <c r="B19">
        <f>AVERAGE(B4,B7,B10)</f>
        <v>10.666666666666666</v>
      </c>
      <c r="C19">
        <f t="shared" ref="C19:F19" si="4">AVERAGE(C4,C7,C10)</f>
        <v>5.333333333333333</v>
      </c>
      <c r="D19">
        <f t="shared" si="4"/>
        <v>-3</v>
      </c>
      <c r="E19">
        <f t="shared" si="4"/>
        <v>4.333333333333333</v>
      </c>
      <c r="F19">
        <f t="shared" si="4"/>
        <v>0.33333333333333331</v>
      </c>
    </row>
    <row r="20" spans="1:6" x14ac:dyDescent="0.35">
      <c r="A20" t="s">
        <v>18</v>
      </c>
      <c r="B20">
        <f>AVERAGE(B5,B8)</f>
        <v>9.5</v>
      </c>
      <c r="C20">
        <f t="shared" ref="C20:F20" si="5">AVERAGE(C5,C8)</f>
        <v>5</v>
      </c>
      <c r="D20">
        <f t="shared" si="5"/>
        <v>-5</v>
      </c>
      <c r="E20">
        <f t="shared" si="5"/>
        <v>4.5</v>
      </c>
      <c r="F20">
        <f t="shared" si="5"/>
        <v>0.5</v>
      </c>
    </row>
    <row r="24" spans="1:6" x14ac:dyDescent="0.35">
      <c r="A24" s="2" t="s">
        <v>16</v>
      </c>
    </row>
    <row r="25" spans="1:6" x14ac:dyDescent="0.35">
      <c r="A25" t="s">
        <v>0</v>
      </c>
      <c r="B25" t="s">
        <v>1</v>
      </c>
      <c r="C25" t="s">
        <v>2</v>
      </c>
      <c r="D25" t="s">
        <v>3</v>
      </c>
      <c r="F25" t="s">
        <v>19</v>
      </c>
    </row>
    <row r="26" spans="1:6" x14ac:dyDescent="0.35">
      <c r="A26">
        <v>1</v>
      </c>
      <c r="B26">
        <v>10</v>
      </c>
      <c r="C26">
        <v>2</v>
      </c>
      <c r="D26">
        <v>-1</v>
      </c>
      <c r="E26" t="s">
        <v>8</v>
      </c>
    </row>
    <row r="27" spans="1:6" x14ac:dyDescent="0.35">
      <c r="A27">
        <v>2</v>
      </c>
      <c r="B27">
        <v>11</v>
      </c>
      <c r="C27">
        <v>3</v>
      </c>
      <c r="D27">
        <v>-1</v>
      </c>
      <c r="E27" t="s">
        <v>9</v>
      </c>
    </row>
    <row r="28" spans="1:6" x14ac:dyDescent="0.35">
      <c r="A28">
        <v>3</v>
      </c>
      <c r="B28">
        <v>18</v>
      </c>
      <c r="C28">
        <v>5</v>
      </c>
      <c r="D28">
        <v>-1</v>
      </c>
      <c r="E28" t="s">
        <v>8</v>
      </c>
    </row>
    <row r="29" spans="1:6" x14ac:dyDescent="0.35">
      <c r="A29">
        <v>4</v>
      </c>
      <c r="B29">
        <v>20</v>
      </c>
      <c r="C29">
        <v>4</v>
      </c>
      <c r="D29">
        <v>0</v>
      </c>
      <c r="E29" t="s">
        <v>9</v>
      </c>
    </row>
    <row r="30" spans="1:6" x14ac:dyDescent="0.35">
      <c r="A30">
        <v>5</v>
      </c>
      <c r="B30">
        <v>19</v>
      </c>
      <c r="C30">
        <v>3</v>
      </c>
      <c r="D30">
        <v>0</v>
      </c>
      <c r="E30" t="s">
        <v>8</v>
      </c>
    </row>
    <row r="31" spans="1:6" x14ac:dyDescent="0.35">
      <c r="A31">
        <v>6</v>
      </c>
      <c r="B31">
        <v>8</v>
      </c>
      <c r="C31">
        <v>2</v>
      </c>
      <c r="D31">
        <v>-1</v>
      </c>
      <c r="E31" t="s">
        <v>9</v>
      </c>
    </row>
    <row r="32" spans="1:6" x14ac:dyDescent="0.35">
      <c r="A32" t="s">
        <v>15</v>
      </c>
      <c r="F32" t="s">
        <v>20</v>
      </c>
    </row>
    <row r="33" spans="1:4" x14ac:dyDescent="0.35">
      <c r="A33" t="s">
        <v>13</v>
      </c>
      <c r="B33">
        <f>AVERAGE(B26,B28,B30)</f>
        <v>15.666666666666666</v>
      </c>
      <c r="C33">
        <f t="shared" ref="C33:D33" si="6">AVERAGE(C26,C28,C30)</f>
        <v>3.3333333333333335</v>
      </c>
      <c r="D33">
        <f t="shared" si="6"/>
        <v>-0.66666666666666663</v>
      </c>
    </row>
    <row r="34" spans="1:4" x14ac:dyDescent="0.35">
      <c r="A34" t="s">
        <v>14</v>
      </c>
      <c r="B34">
        <f>AVERAGE(B27,B29,B31)</f>
        <v>13</v>
      </c>
      <c r="C34">
        <f t="shared" ref="C34:D34" si="7">AVERAGE(C27,C29,C31)</f>
        <v>3</v>
      </c>
      <c r="D34">
        <f t="shared" si="7"/>
        <v>-0.66666666666666663</v>
      </c>
    </row>
  </sheetData>
  <mergeCells count="1">
    <mergeCell ref="A12:A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Kmode</vt:lpstr>
      <vt:lpstr>Kmeans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Wong</dc:creator>
  <cp:lastModifiedBy>Clara Wong</cp:lastModifiedBy>
  <dcterms:created xsi:type="dcterms:W3CDTF">2026-05-23T07:17:06Z</dcterms:created>
  <dcterms:modified xsi:type="dcterms:W3CDTF">2026-05-23T08:49:56Z</dcterms:modified>
</cp:coreProperties>
</file>